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puser02\Downloads\"/>
    </mc:Choice>
  </mc:AlternateContent>
  <xr:revisionPtr revIDLastSave="0" documentId="13_ncr:1_{EB3836AD-92A1-4589-BBB1-DE845E2028FB}" xr6:coauthVersionLast="47" xr6:coauthVersionMax="47" xr10:uidLastSave="{00000000-0000-0000-0000-000000000000}"/>
  <bookViews>
    <workbookView xWindow="-108" yWindow="-108" windowWidth="23256" windowHeight="12456" xr2:uid="{15D58ABB-CBD6-4859-9613-BBB57D50E675}"/>
  </bookViews>
  <sheets>
    <sheet name="펜타시스템공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6" i="1" l="1"/>
  <c r="I26" i="1"/>
  <c r="J26" i="1"/>
  <c r="K26" i="1"/>
  <c r="L26" i="1"/>
  <c r="M26" i="1"/>
  <c r="N26" i="1"/>
  <c r="O26" i="1"/>
  <c r="P26" i="1"/>
  <c r="G26" i="1"/>
  <c r="Q10" i="1" l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9" i="1"/>
  <c r="H31" i="1" l="1"/>
  <c r="I31" i="1"/>
  <c r="J31" i="1"/>
  <c r="K31" i="1"/>
  <c r="L31" i="1"/>
  <c r="M31" i="1"/>
  <c r="N31" i="1"/>
  <c r="O31" i="1"/>
  <c r="P31" i="1"/>
  <c r="Q31" i="1"/>
  <c r="G31" i="1"/>
  <c r="Q26" i="1"/>
  <c r="Q6" i="1"/>
  <c r="Q7" i="1"/>
  <c r="Q5" i="1"/>
  <c r="P8" i="1"/>
  <c r="H8" i="1"/>
  <c r="I8" i="1"/>
  <c r="J8" i="1"/>
  <c r="K8" i="1"/>
  <c r="L8" i="1"/>
  <c r="M8" i="1"/>
  <c r="N8" i="1"/>
  <c r="O8" i="1"/>
  <c r="G8" i="1"/>
  <c r="Q8" i="1" l="1"/>
</calcChain>
</file>

<file path=xl/sharedStrings.xml><?xml version="1.0" encoding="utf-8"?>
<sst xmlns="http://schemas.openxmlformats.org/spreadsheetml/2006/main" count="128" uniqueCount="100">
  <si>
    <t>소속</t>
  </si>
  <si>
    <t>업체</t>
  </si>
  <si>
    <t>업무</t>
  </si>
  <si>
    <t>성명</t>
  </si>
  <si>
    <t>등급</t>
  </si>
  <si>
    <t>단가</t>
  </si>
  <si>
    <t>투입금액</t>
  </si>
  <si>
    <t>M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</si>
  <si>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</si>
  <si>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</si>
  <si>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</si>
  <si>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</si>
  <si>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</si>
  <si>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</si>
  <si>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</si>
  <si>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</si>
  <si>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</si>
  <si>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계</t>
  </si>
  <si>
    <t>외주</t>
  </si>
  <si>
    <t>소 계</t>
  </si>
  <si>
    <t>EY</t>
    <phoneticPr fontId="2" type="noConversion"/>
  </si>
  <si>
    <t>펜타시스템</t>
    <phoneticPr fontId="2" type="noConversion"/>
  </si>
  <si>
    <t>오브젠</t>
    <phoneticPr fontId="2" type="noConversion"/>
  </si>
  <si>
    <t>특급</t>
    <phoneticPr fontId="2" type="noConversion"/>
  </si>
  <si>
    <t>파트너</t>
    <phoneticPr fontId="2" type="noConversion"/>
  </si>
  <si>
    <t>디렉터</t>
    <phoneticPr fontId="2" type="noConversion"/>
  </si>
  <si>
    <t>시니어</t>
    <phoneticPr fontId="2" type="noConversion"/>
  </si>
  <si>
    <t>고급</t>
    <phoneticPr fontId="2" type="noConversion"/>
  </si>
  <si>
    <t>중급</t>
    <phoneticPr fontId="2" type="noConversion"/>
  </si>
  <si>
    <t>초급</t>
    <phoneticPr fontId="2" type="noConversion"/>
  </si>
  <si>
    <t>공수(M/M)</t>
    <phoneticPr fontId="2" type="noConversion"/>
  </si>
  <si>
    <t>김승태</t>
    <phoneticPr fontId="2" type="noConversion"/>
  </si>
  <si>
    <t>*할인된 단가 입력(Only 보고용)</t>
    <phoneticPr fontId="2" type="noConversion"/>
  </si>
  <si>
    <t>TBD</t>
    <phoneticPr fontId="2" type="noConversion"/>
  </si>
  <si>
    <t>오세욱</t>
    <phoneticPr fontId="2" type="noConversion"/>
  </si>
  <si>
    <t>(소계)</t>
    <phoneticPr fontId="2" type="noConversion"/>
  </si>
  <si>
    <t>사업 총괄</t>
    <phoneticPr fontId="2" type="noConversion"/>
  </si>
  <si>
    <t>PM</t>
    <phoneticPr fontId="2" type="noConversion"/>
  </si>
  <si>
    <t>QA/AI</t>
    <phoneticPr fontId="2" type="noConversion"/>
  </si>
  <si>
    <t>데이터아키텍트</t>
    <phoneticPr fontId="2" type="noConversion"/>
  </si>
  <si>
    <t>DevOps / 인프라 엔지니어</t>
    <phoneticPr fontId="2" type="noConversion"/>
  </si>
  <si>
    <t>Snowflake DBA</t>
    <phoneticPr fontId="2" type="noConversion"/>
  </si>
  <si>
    <t>데이터 이관 Lead</t>
    <phoneticPr fontId="2" type="noConversion"/>
  </si>
  <si>
    <t>데이터 엔지니어</t>
    <phoneticPr fontId="2" type="noConversion"/>
  </si>
  <si>
    <t>dbt 아키텍트 / Lead</t>
    <phoneticPr fontId="2" type="noConversion"/>
  </si>
  <si>
    <t>dbt 개발자</t>
    <phoneticPr fontId="2" type="noConversion"/>
  </si>
  <si>
    <t>특급</t>
    <phoneticPr fontId="2" type="noConversion"/>
  </si>
  <si>
    <t>고급</t>
    <phoneticPr fontId="2" type="noConversion"/>
  </si>
  <si>
    <t>초급</t>
    <phoneticPr fontId="2" type="noConversion"/>
  </si>
  <si>
    <t>Airflow DAG개발</t>
    <phoneticPr fontId="2" type="noConversion"/>
  </si>
  <si>
    <t>데이터 모델러</t>
    <phoneticPr fontId="2" type="noConversion"/>
  </si>
  <si>
    <t>중급</t>
    <phoneticPr fontId="2" type="noConversion"/>
  </si>
  <si>
    <t>이남석</t>
    <phoneticPr fontId="2" type="noConversion"/>
  </si>
  <si>
    <t>황이</t>
    <phoneticPr fontId="2" type="noConversion"/>
  </si>
  <si>
    <t>한준희</t>
    <phoneticPr fontId="2" type="noConversion"/>
  </si>
  <si>
    <t>이동환</t>
    <phoneticPr fontId="2" type="noConversion"/>
  </si>
  <si>
    <t>차원철</t>
    <phoneticPr fontId="2" type="noConversion"/>
  </si>
  <si>
    <t>정우진</t>
    <phoneticPr fontId="2" type="noConversion"/>
  </si>
  <si>
    <t>이상명</t>
    <phoneticPr fontId="2" type="noConversion"/>
  </si>
  <si>
    <t>김무경</t>
    <phoneticPr fontId="2" type="noConversion"/>
  </si>
  <si>
    <t>김진형</t>
    <phoneticPr fontId="2" type="noConversion"/>
  </si>
  <si>
    <t>박효진</t>
    <phoneticPr fontId="2" type="noConversion"/>
  </si>
  <si>
    <t>최경연</t>
    <phoneticPr fontId="2" type="noConversion"/>
  </si>
  <si>
    <t>김지훈</t>
    <phoneticPr fontId="2" type="noConversion"/>
  </si>
  <si>
    <t>김재웅</t>
    <phoneticPr fontId="2" type="noConversion"/>
  </si>
  <si>
    <t>진추안</t>
    <phoneticPr fontId="2" type="noConversion"/>
  </si>
  <si>
    <t>dbt 개발자(예비)</t>
    <phoneticPr fontId="2" type="noConversion"/>
  </si>
  <si>
    <t>H.P</t>
    <phoneticPr fontId="2" type="noConversion"/>
  </si>
  <si>
    <t>E-mail</t>
    <phoneticPr fontId="2" type="noConversion"/>
  </si>
  <si>
    <t>010-2274-7405</t>
    <phoneticPr fontId="2" type="noConversion"/>
  </si>
  <si>
    <t>nslee@penta.co.kr</t>
    <phoneticPr fontId="2" type="noConversion"/>
  </si>
  <si>
    <t>010-7404-1132</t>
    <phoneticPr fontId="2" type="noConversion"/>
  </si>
  <si>
    <t>yi.haung@penta.co.kr</t>
    <phoneticPr fontId="2" type="noConversion"/>
  </si>
  <si>
    <t>010-3136-5451</t>
    <phoneticPr fontId="2" type="noConversion"/>
  </si>
  <si>
    <t>jun073@penta.co.kr</t>
    <phoneticPr fontId="2" type="noConversion"/>
  </si>
  <si>
    <t>010-7724-8501</t>
    <phoneticPr fontId="2" type="noConversion"/>
  </si>
  <si>
    <t>donghwan1020@penta.co.kr</t>
  </si>
  <si>
    <t>양재영</t>
    <phoneticPr fontId="2" type="noConversion"/>
  </si>
  <si>
    <t>010-4107-9610</t>
    <phoneticPr fontId="2" type="noConversion"/>
  </si>
  <si>
    <t>didwodud1025@penta.co.kr</t>
  </si>
  <si>
    <t>dbkorea@bplace.kr</t>
    <phoneticPr fontId="2" type="noConversion"/>
  </si>
  <si>
    <t>cyber00@bplace.kr</t>
    <phoneticPr fontId="2" type="noConversion"/>
  </si>
  <si>
    <t>010-2712-2652</t>
    <phoneticPr fontId="2" type="noConversion"/>
  </si>
  <si>
    <t>010-9959-7256</t>
    <phoneticPr fontId="2" type="noConversion"/>
  </si>
  <si>
    <t>010-5248-1022</t>
    <phoneticPr fontId="2" type="noConversion"/>
  </si>
  <si>
    <t>rachel@bplace.kr</t>
    <phoneticPr fontId="2" type="noConversion"/>
  </si>
  <si>
    <t>010-8212-7888</t>
    <phoneticPr fontId="2" type="noConversion"/>
  </si>
  <si>
    <t>010-5008-5135</t>
    <phoneticPr fontId="2" type="noConversion"/>
  </si>
  <si>
    <t>atclsakwed@bplace.kr</t>
    <phoneticPr fontId="2" type="noConversion"/>
  </si>
  <si>
    <t>wccha@bplace.kr</t>
    <phoneticPr fontId="2" type="noConversion"/>
  </si>
  <si>
    <t>wjjung@bplace.kr</t>
    <phoneticPr fontId="2" type="noConversion"/>
  </si>
  <si>
    <t>smlee@bplace.kr</t>
    <phoneticPr fontId="2" type="noConversion"/>
  </si>
  <si>
    <t>jhkim@bplace.kr</t>
    <phoneticPr fontId="2" type="noConversion"/>
  </si>
  <si>
    <t>010-2574-0867</t>
    <phoneticPr fontId="2" type="noConversion"/>
  </si>
  <si>
    <t>jwkim@bplace.kr</t>
    <phoneticPr fontId="2" type="noConversion"/>
  </si>
  <si>
    <t>AWS클라우드엔지니어</t>
    <phoneticPr fontId="2" type="noConversion"/>
  </si>
  <si>
    <t>010-8441-1711</t>
    <phoneticPr fontId="2" type="noConversion"/>
  </si>
  <si>
    <t>010-4384-7453</t>
    <phoneticPr fontId="2" type="noConversion"/>
  </si>
  <si>
    <t>010-2962-1653</t>
    <phoneticPr fontId="2" type="noConversion"/>
  </si>
  <si>
    <t>010-3785-3633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</si>
</sst>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_-* #,##0.0_-;\-* #,##0.0_-;_-* &quot;-&quot;?_-;_-@_-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176" fontId="3" fillId="5" borderId="1" xfId="0" applyNumberFormat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 wrapText="1"/>
    </xf>
    <xf numFmtId="41" fontId="3" fillId="4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E35-B977-40CB-8648-C4AD96208987}">
  <dimension ref="B2:U32"/>
  <sheetViews>
    <sheetView tabSelected="1" topLeftCell="A8" zoomScaleNormal="100" workbookViewId="0">
      <selection activeCell="S19" sqref="S19"/>
    </sheetView>
  </sheetViews>
  <sheetFormatPr defaultColWidth="8.796875" defaultRowHeight="15.6" x14ac:dyDescent="0.4"/>
  <cols>
    <col min="1" max="2" width="8.796875" style="1"/>
    <col min="3" max="3" width="11.3984375" style="2" customWidth="1"/>
    <col min="4" max="4" width="22" style="2" bestFit="1" customWidth="1"/>
    <col min="5" max="5" width="8.796875" style="2"/>
    <col min="6" max="6" width="8.796875" style="1"/>
    <col min="7" max="17" width="6.69921875" style="1" customWidth="1"/>
    <col min="18" max="18" width="13.296875" style="1" customWidth="1"/>
    <col min="19" max="19" width="14.3984375" style="1" customWidth="1"/>
    <col min="20" max="20" width="15.19921875" style="2" customWidth="1"/>
    <col min="21" max="21" width="25.19921875" style="2" customWidth="1"/>
    <col min="22" max="16384" width="8.796875" style="1"/>
  </cols>
  <sheetData>
    <row r="2" spans="2:21" x14ac:dyDescent="0.4">
      <c r="R2" s="13" t="s">
        <v>32</v>
      </c>
    </row>
    <row r="3" spans="2:21" ht="19.95" customHeight="1" x14ac:dyDescent="0.4">
      <c r="B3" s="33" t="s">
        <v>0</v>
      </c>
      <c r="C3" s="33" t="s">
        <v>1</v>
      </c>
      <c r="D3" s="33" t="s">
        <v>2</v>
      </c>
      <c r="E3" s="33" t="s">
        <v>3</v>
      </c>
      <c r="F3" s="33" t="s">
        <v>4</v>
      </c>
      <c r="G3" s="34" t="s">
        <v>30</v>
      </c>
      <c r="H3" s="35"/>
      <c r="I3" s="35"/>
      <c r="J3" s="35"/>
      <c r="K3" s="35"/>
      <c r="L3" s="35"/>
      <c r="M3" s="35"/>
      <c r="N3" s="35"/>
      <c r="O3" s="35"/>
      <c r="P3" s="35"/>
      <c r="Q3" s="36"/>
      <c r="R3" s="33" t="s">
        <v>5</v>
      </c>
      <c r="S3" s="33" t="s">
        <v>6</v>
      </c>
      <c r="T3" s="27" t="s">
        <v>67</v>
      </c>
      <c r="U3" s="27" t="s">
        <v>68</v>
      </c>
    </row>
    <row r="4" spans="2:21" ht="19.95" customHeight="1" x14ac:dyDescent="0.4">
      <c r="B4" s="33"/>
      <c r="C4" s="33"/>
      <c r="D4" s="33"/>
      <c r="E4" s="33"/>
      <c r="F4" s="33"/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10" t="s">
        <v>17</v>
      </c>
      <c r="R4" s="33"/>
      <c r="S4" s="33"/>
      <c r="T4" s="27"/>
      <c r="U4" s="27"/>
    </row>
    <row r="5" spans="2:21" ht="19.95" customHeight="1" x14ac:dyDescent="0.4">
      <c r="B5" s="28" t="s">
        <v>18</v>
      </c>
      <c r="C5" s="21" t="s">
        <v>20</v>
      </c>
      <c r="D5" s="5" t="s">
        <v>36</v>
      </c>
      <c r="E5" s="5" t="s">
        <v>31</v>
      </c>
      <c r="F5" s="5" t="s">
        <v>24</v>
      </c>
      <c r="G5" s="5">
        <v>0.2</v>
      </c>
      <c r="H5" s="5">
        <v>0.2</v>
      </c>
      <c r="I5" s="5">
        <v>0.2</v>
      </c>
      <c r="J5" s="5">
        <v>0.2</v>
      </c>
      <c r="K5" s="5">
        <v>0.2</v>
      </c>
      <c r="L5" s="5">
        <v>0.2</v>
      </c>
      <c r="M5" s="5">
        <v>0.2</v>
      </c>
      <c r="N5" s="5">
        <v>0.2</v>
      </c>
      <c r="O5" s="5">
        <v>0.2</v>
      </c>
      <c r="P5" s="5">
        <v>0.2</v>
      </c>
      <c r="Q5" s="5">
        <f>SUM(G5:P5)</f>
        <v>1.9999999999999998</v>
      </c>
      <c r="R5" s="5"/>
      <c r="S5" s="5"/>
      <c r="T5" s="19"/>
      <c r="U5" s="19"/>
    </row>
    <row r="6" spans="2:21" ht="19.95" customHeight="1" x14ac:dyDescent="0.4">
      <c r="B6" s="29"/>
      <c r="C6" s="22"/>
      <c r="D6" s="5" t="s">
        <v>37</v>
      </c>
      <c r="E6" s="5" t="s">
        <v>34</v>
      </c>
      <c r="F6" s="5" t="s">
        <v>25</v>
      </c>
      <c r="G6" s="5">
        <v>0.5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f t="shared" ref="Q6:Q8" si="0">SUM(G6:P6)</f>
        <v>9.5</v>
      </c>
      <c r="R6" s="5"/>
      <c r="S6" s="5"/>
      <c r="T6" s="19"/>
      <c r="U6" s="19"/>
    </row>
    <row r="7" spans="2:21" ht="19.95" customHeight="1" x14ac:dyDescent="0.4">
      <c r="B7" s="29"/>
      <c r="C7" s="22"/>
      <c r="D7" s="5" t="s">
        <v>38</v>
      </c>
      <c r="E7" s="5" t="s">
        <v>33</v>
      </c>
      <c r="F7" s="5" t="s">
        <v>26</v>
      </c>
      <c r="G7" s="5">
        <v>0.5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/>
      <c r="Q7" s="5">
        <f t="shared" si="0"/>
        <v>8.5</v>
      </c>
      <c r="R7" s="8"/>
      <c r="S7" s="8"/>
      <c r="T7" s="19"/>
      <c r="U7" s="19"/>
    </row>
    <row r="8" spans="2:21" ht="19.95" customHeight="1" x14ac:dyDescent="0.4">
      <c r="B8" s="29"/>
      <c r="C8" s="23"/>
      <c r="D8" s="24" t="s">
        <v>35</v>
      </c>
      <c r="E8" s="25"/>
      <c r="F8" s="26"/>
      <c r="G8" s="5">
        <f>SUM(G5:G7)</f>
        <v>1.2</v>
      </c>
      <c r="H8" s="5">
        <f t="shared" ref="H8:P8" si="1">SUM(H5:H7)</f>
        <v>2.2000000000000002</v>
      </c>
      <c r="I8" s="5">
        <f t="shared" si="1"/>
        <v>2.2000000000000002</v>
      </c>
      <c r="J8" s="5">
        <f t="shared" si="1"/>
        <v>2.2000000000000002</v>
      </c>
      <c r="K8" s="5">
        <f t="shared" si="1"/>
        <v>2.2000000000000002</v>
      </c>
      <c r="L8" s="5">
        <f t="shared" si="1"/>
        <v>2.2000000000000002</v>
      </c>
      <c r="M8" s="5">
        <f t="shared" si="1"/>
        <v>2.2000000000000002</v>
      </c>
      <c r="N8" s="5">
        <f t="shared" si="1"/>
        <v>2.2000000000000002</v>
      </c>
      <c r="O8" s="5">
        <f t="shared" si="1"/>
        <v>2.2000000000000002</v>
      </c>
      <c r="P8" s="5">
        <f t="shared" si="1"/>
        <v>1.2</v>
      </c>
      <c r="Q8" s="5">
        <f t="shared" si="0"/>
        <v>19.999999999999996</v>
      </c>
      <c r="R8" s="11"/>
      <c r="S8" s="8"/>
      <c r="T8" s="19"/>
      <c r="U8" s="19"/>
    </row>
    <row r="9" spans="2:21" ht="19.95" customHeight="1" x14ac:dyDescent="0.4">
      <c r="B9" s="29"/>
      <c r="C9" s="21" t="s">
        <v>21</v>
      </c>
      <c r="D9" s="16" t="s">
        <v>39</v>
      </c>
      <c r="E9" s="16" t="s">
        <v>52</v>
      </c>
      <c r="F9" s="16" t="s">
        <v>23</v>
      </c>
      <c r="G9" s="17">
        <v>0.5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2">
        <f>SUM(G9:P9)</f>
        <v>0.5</v>
      </c>
      <c r="R9" s="15"/>
      <c r="S9" s="15"/>
      <c r="T9" s="19" t="s">
        <v>69</v>
      </c>
      <c r="U9" s="20" t="s">
        <v>70</v>
      </c>
    </row>
    <row r="10" spans="2:21" ht="19.95" customHeight="1" x14ac:dyDescent="0.4">
      <c r="B10" s="29"/>
      <c r="C10" s="22"/>
      <c r="D10" s="16" t="s">
        <v>95</v>
      </c>
      <c r="E10" s="16" t="s">
        <v>53</v>
      </c>
      <c r="F10" s="16" t="s">
        <v>23</v>
      </c>
      <c r="G10" s="17">
        <v>0.5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0.5</v>
      </c>
      <c r="Q10" s="12">
        <f t="shared" ref="Q10:Q25" si="2">SUM(G10:P10)</f>
        <v>1</v>
      </c>
      <c r="R10" s="15"/>
      <c r="S10" s="15"/>
      <c r="T10" s="19" t="s">
        <v>71</v>
      </c>
      <c r="U10" s="20" t="s">
        <v>72</v>
      </c>
    </row>
    <row r="11" spans="2:21" ht="19.95" customHeight="1" x14ac:dyDescent="0.4">
      <c r="B11" s="29"/>
      <c r="C11" s="22"/>
      <c r="D11" s="16" t="s">
        <v>40</v>
      </c>
      <c r="E11" s="16" t="s">
        <v>54</v>
      </c>
      <c r="F11" s="16" t="s">
        <v>27</v>
      </c>
      <c r="G11" s="17">
        <v>0.5</v>
      </c>
      <c r="H11" s="17">
        <v>0.5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0.5</v>
      </c>
      <c r="Q11" s="12">
        <f t="shared" si="2"/>
        <v>1.5</v>
      </c>
      <c r="R11" s="15"/>
      <c r="S11" s="15"/>
      <c r="T11" s="19" t="s">
        <v>73</v>
      </c>
      <c r="U11" s="20" t="s">
        <v>74</v>
      </c>
    </row>
    <row r="12" spans="2:21" ht="19.95" customHeight="1" x14ac:dyDescent="0.4">
      <c r="B12" s="29"/>
      <c r="C12" s="22"/>
      <c r="D12" s="16" t="s">
        <v>41</v>
      </c>
      <c r="E12" s="16" t="s">
        <v>55</v>
      </c>
      <c r="F12" s="16" t="s">
        <v>47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2">
        <f t="shared" si="2"/>
        <v>10</v>
      </c>
      <c r="R12" s="15"/>
      <c r="S12" s="15"/>
      <c r="T12" s="19" t="s">
        <v>75</v>
      </c>
      <c r="U12" s="19" t="s">
        <v>76</v>
      </c>
    </row>
    <row r="13" spans="2:21" ht="19.95" customHeight="1" x14ac:dyDescent="0.4">
      <c r="B13" s="29"/>
      <c r="C13" s="22"/>
      <c r="D13" s="16" t="s">
        <v>50</v>
      </c>
      <c r="E13" s="16" t="s">
        <v>52</v>
      </c>
      <c r="F13" s="16" t="s">
        <v>46</v>
      </c>
      <c r="G13" s="17">
        <v>0.5</v>
      </c>
      <c r="H13" s="17">
        <v>0.5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2">
        <f t="shared" si="2"/>
        <v>1</v>
      </c>
      <c r="R13" s="15"/>
      <c r="S13" s="15"/>
      <c r="T13" s="19" t="s">
        <v>69</v>
      </c>
      <c r="U13" s="20" t="s">
        <v>70</v>
      </c>
    </row>
    <row r="14" spans="2:21" ht="19.95" customHeight="1" x14ac:dyDescent="0.4">
      <c r="B14" s="29"/>
      <c r="C14" s="22"/>
      <c r="D14" s="16" t="s">
        <v>42</v>
      </c>
      <c r="E14" s="16" t="s">
        <v>52</v>
      </c>
      <c r="F14" s="16" t="s">
        <v>46</v>
      </c>
      <c r="G14" s="17">
        <v>0</v>
      </c>
      <c r="H14" s="17">
        <v>0.5</v>
      </c>
      <c r="I14" s="17">
        <v>1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7">
        <v>1</v>
      </c>
      <c r="P14" s="17">
        <v>1</v>
      </c>
      <c r="Q14" s="12">
        <f t="shared" si="2"/>
        <v>8.5</v>
      </c>
      <c r="R14" s="15"/>
      <c r="S14" s="15"/>
      <c r="T14" s="19" t="s">
        <v>69</v>
      </c>
      <c r="U14" s="20" t="s">
        <v>70</v>
      </c>
    </row>
    <row r="15" spans="2:21" ht="19.95" customHeight="1" x14ac:dyDescent="0.4">
      <c r="B15" s="29"/>
      <c r="C15" s="22"/>
      <c r="D15" s="16" t="s">
        <v>43</v>
      </c>
      <c r="E15" s="16" t="s">
        <v>56</v>
      </c>
      <c r="F15" s="16" t="s">
        <v>47</v>
      </c>
      <c r="G15" s="17">
        <v>0</v>
      </c>
      <c r="H15" s="17">
        <v>0.5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>
        <v>0.5</v>
      </c>
      <c r="P15" s="17">
        <v>0</v>
      </c>
      <c r="Q15" s="12">
        <f t="shared" si="2"/>
        <v>7</v>
      </c>
      <c r="R15" s="15"/>
      <c r="S15" s="15"/>
      <c r="T15" s="19" t="s">
        <v>99</v>
      </c>
      <c r="U15" s="20" t="s">
        <v>89</v>
      </c>
    </row>
    <row r="16" spans="2:21" ht="19.95" customHeight="1" x14ac:dyDescent="0.4">
      <c r="B16" s="29"/>
      <c r="C16" s="22"/>
      <c r="D16" s="16" t="s">
        <v>43</v>
      </c>
      <c r="E16" s="16" t="s">
        <v>57</v>
      </c>
      <c r="F16" s="16" t="s">
        <v>47</v>
      </c>
      <c r="G16" s="17">
        <v>0</v>
      </c>
      <c r="H16" s="17">
        <v>0.5</v>
      </c>
      <c r="I16" s="17">
        <v>1</v>
      </c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7">
        <v>0.5</v>
      </c>
      <c r="P16" s="17">
        <v>0</v>
      </c>
      <c r="Q16" s="12">
        <f t="shared" si="2"/>
        <v>7</v>
      </c>
      <c r="R16" s="15"/>
      <c r="S16" s="15"/>
      <c r="T16" s="19" t="s">
        <v>97</v>
      </c>
      <c r="U16" s="20" t="s">
        <v>90</v>
      </c>
    </row>
    <row r="17" spans="2:21" ht="19.95" customHeight="1" x14ac:dyDescent="0.4">
      <c r="B17" s="29"/>
      <c r="C17" s="22"/>
      <c r="D17" s="16" t="s">
        <v>43</v>
      </c>
      <c r="E17" s="16" t="s">
        <v>58</v>
      </c>
      <c r="F17" s="16" t="s">
        <v>47</v>
      </c>
      <c r="G17" s="17"/>
      <c r="H17" s="17">
        <v>0.5</v>
      </c>
      <c r="I17" s="17">
        <v>1</v>
      </c>
      <c r="J17" s="17">
        <v>1</v>
      </c>
      <c r="K17" s="17">
        <v>1</v>
      </c>
      <c r="L17" s="17">
        <v>1</v>
      </c>
      <c r="M17" s="17">
        <v>1</v>
      </c>
      <c r="N17" s="17">
        <v>1</v>
      </c>
      <c r="O17" s="17">
        <v>0.5</v>
      </c>
      <c r="P17" s="17">
        <v>0</v>
      </c>
      <c r="Q17" s="12">
        <f t="shared" si="2"/>
        <v>7</v>
      </c>
      <c r="R17" s="15"/>
      <c r="S17" s="15"/>
      <c r="T17" s="19" t="s">
        <v>96</v>
      </c>
      <c r="U17" s="20" t="s">
        <v>91</v>
      </c>
    </row>
    <row r="18" spans="2:21" ht="19.95" customHeight="1" x14ac:dyDescent="0.4">
      <c r="B18" s="29"/>
      <c r="C18" s="22"/>
      <c r="D18" s="16" t="s">
        <v>44</v>
      </c>
      <c r="E18" s="16" t="s">
        <v>59</v>
      </c>
      <c r="F18" s="16" t="s">
        <v>46</v>
      </c>
      <c r="G18" s="17">
        <v>0.5</v>
      </c>
      <c r="H18" s="17">
        <v>1</v>
      </c>
      <c r="I18" s="17">
        <v>1</v>
      </c>
      <c r="J18" s="17">
        <v>1</v>
      </c>
      <c r="K18" s="17">
        <v>1</v>
      </c>
      <c r="L18" s="17">
        <v>1</v>
      </c>
      <c r="M18" s="17">
        <v>1</v>
      </c>
      <c r="N18" s="17">
        <v>1</v>
      </c>
      <c r="O18" s="17">
        <v>1</v>
      </c>
      <c r="P18" s="17">
        <v>0.5</v>
      </c>
      <c r="Q18" s="12">
        <f t="shared" si="2"/>
        <v>9</v>
      </c>
      <c r="R18" s="15"/>
      <c r="S18" s="15"/>
      <c r="T18" s="19" t="s">
        <v>83</v>
      </c>
      <c r="U18" s="20" t="s">
        <v>80</v>
      </c>
    </row>
    <row r="19" spans="2:21" ht="19.95" customHeight="1" x14ac:dyDescent="0.4">
      <c r="B19" s="29"/>
      <c r="C19" s="22"/>
      <c r="D19" s="16" t="s">
        <v>45</v>
      </c>
      <c r="E19" s="16" t="s">
        <v>60</v>
      </c>
      <c r="F19" s="16" t="s">
        <v>46</v>
      </c>
      <c r="G19" s="17"/>
      <c r="H19" s="17">
        <v>0.5</v>
      </c>
      <c r="I19" s="17">
        <v>1</v>
      </c>
      <c r="J19" s="17">
        <v>1</v>
      </c>
      <c r="K19" s="17">
        <v>1</v>
      </c>
      <c r="L19" s="17">
        <v>1</v>
      </c>
      <c r="M19" s="17">
        <v>1</v>
      </c>
      <c r="N19" s="17">
        <v>1</v>
      </c>
      <c r="O19" s="17">
        <v>1</v>
      </c>
      <c r="P19" s="17">
        <v>0.5</v>
      </c>
      <c r="Q19" s="12">
        <f t="shared" si="2"/>
        <v>8</v>
      </c>
      <c r="R19" s="15"/>
      <c r="S19" s="15"/>
      <c r="T19" s="19" t="s">
        <v>98</v>
      </c>
      <c r="U19" s="20" t="s">
        <v>92</v>
      </c>
    </row>
    <row r="20" spans="2:21" ht="19.95" customHeight="1" x14ac:dyDescent="0.4">
      <c r="B20" s="29"/>
      <c r="C20" s="22"/>
      <c r="D20" s="16" t="s">
        <v>45</v>
      </c>
      <c r="E20" s="16" t="s">
        <v>61</v>
      </c>
      <c r="F20" s="16" t="s">
        <v>46</v>
      </c>
      <c r="G20" s="17">
        <v>0.5</v>
      </c>
      <c r="H20" s="17">
        <v>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7">
        <v>1</v>
      </c>
      <c r="P20" s="17">
        <v>0.5</v>
      </c>
      <c r="Q20" s="12">
        <f t="shared" si="2"/>
        <v>9</v>
      </c>
      <c r="R20" s="15"/>
      <c r="S20" s="15"/>
      <c r="T20" s="19" t="s">
        <v>86</v>
      </c>
      <c r="U20" s="20" t="s">
        <v>80</v>
      </c>
    </row>
    <row r="21" spans="2:21" ht="19.95" customHeight="1" x14ac:dyDescent="0.4">
      <c r="B21" s="29"/>
      <c r="C21" s="22"/>
      <c r="D21" s="16" t="s">
        <v>45</v>
      </c>
      <c r="E21" s="16" t="s">
        <v>62</v>
      </c>
      <c r="F21" s="16" t="s">
        <v>48</v>
      </c>
      <c r="G21" s="17">
        <v>0.5</v>
      </c>
      <c r="H21" s="17">
        <v>1</v>
      </c>
      <c r="I21" s="17">
        <v>1</v>
      </c>
      <c r="J21" s="17">
        <v>1</v>
      </c>
      <c r="K21" s="17">
        <v>1</v>
      </c>
      <c r="L21" s="17">
        <v>1</v>
      </c>
      <c r="M21" s="17">
        <v>1</v>
      </c>
      <c r="N21" s="17">
        <v>1</v>
      </c>
      <c r="O21" s="17">
        <v>0.5</v>
      </c>
      <c r="P21" s="17">
        <v>0</v>
      </c>
      <c r="Q21" s="12">
        <f t="shared" si="2"/>
        <v>8</v>
      </c>
      <c r="R21" s="15"/>
      <c r="S21" s="15"/>
      <c r="T21" s="19" t="s">
        <v>87</v>
      </c>
      <c r="U21" s="20" t="s">
        <v>88</v>
      </c>
    </row>
    <row r="22" spans="2:21" ht="19.95" customHeight="1" x14ac:dyDescent="0.4">
      <c r="B22" s="29"/>
      <c r="C22" s="22"/>
      <c r="D22" s="16" t="s">
        <v>45</v>
      </c>
      <c r="E22" s="16" t="s">
        <v>63</v>
      </c>
      <c r="F22" s="16" t="s">
        <v>46</v>
      </c>
      <c r="G22" s="17">
        <v>0</v>
      </c>
      <c r="H22" s="17">
        <v>0</v>
      </c>
      <c r="I22" s="17">
        <v>0.5</v>
      </c>
      <c r="J22" s="17">
        <v>1</v>
      </c>
      <c r="K22" s="17">
        <v>1</v>
      </c>
      <c r="L22" s="17">
        <v>1</v>
      </c>
      <c r="M22" s="17">
        <v>1</v>
      </c>
      <c r="N22" s="17">
        <v>1</v>
      </c>
      <c r="O22" s="17">
        <v>1</v>
      </c>
      <c r="P22" s="17">
        <v>0.5</v>
      </c>
      <c r="Q22" s="12">
        <f t="shared" si="2"/>
        <v>7</v>
      </c>
      <c r="R22" s="15"/>
      <c r="S22" s="15"/>
      <c r="T22" s="19" t="s">
        <v>82</v>
      </c>
      <c r="U22" s="20" t="s">
        <v>81</v>
      </c>
    </row>
    <row r="23" spans="2:21" ht="19.95" customHeight="1" x14ac:dyDescent="0.4">
      <c r="B23" s="29"/>
      <c r="C23" s="22"/>
      <c r="D23" s="16" t="s">
        <v>45</v>
      </c>
      <c r="E23" s="16" t="s">
        <v>64</v>
      </c>
      <c r="F23" s="16" t="s">
        <v>29</v>
      </c>
      <c r="G23" s="17">
        <v>0</v>
      </c>
      <c r="H23" s="17">
        <v>0</v>
      </c>
      <c r="I23" s="17">
        <v>0</v>
      </c>
      <c r="J23" s="17">
        <v>0.5</v>
      </c>
      <c r="K23" s="17">
        <v>1</v>
      </c>
      <c r="L23" s="17">
        <v>1</v>
      </c>
      <c r="M23" s="17">
        <v>1</v>
      </c>
      <c r="N23" s="17">
        <v>1</v>
      </c>
      <c r="O23" s="17">
        <v>1</v>
      </c>
      <c r="P23" s="17">
        <v>0.5</v>
      </c>
      <c r="Q23" s="12">
        <f t="shared" si="2"/>
        <v>6</v>
      </c>
      <c r="R23" s="15"/>
      <c r="S23" s="15"/>
      <c r="T23" s="19" t="s">
        <v>93</v>
      </c>
      <c r="U23" s="20" t="s">
        <v>94</v>
      </c>
    </row>
    <row r="24" spans="2:21" ht="19.95" customHeight="1" x14ac:dyDescent="0.4">
      <c r="B24" s="29"/>
      <c r="C24" s="22"/>
      <c r="D24" s="16" t="s">
        <v>66</v>
      </c>
      <c r="E24" s="16" t="s">
        <v>77</v>
      </c>
      <c r="F24" s="16" t="s">
        <v>51</v>
      </c>
      <c r="G24" s="17">
        <v>0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4">
        <f t="shared" si="2"/>
        <v>5</v>
      </c>
      <c r="R24" s="15"/>
      <c r="S24" s="15"/>
      <c r="T24" s="19" t="s">
        <v>78</v>
      </c>
      <c r="U24" s="19" t="s">
        <v>79</v>
      </c>
    </row>
    <row r="25" spans="2:21" ht="19.95" customHeight="1" x14ac:dyDescent="0.4">
      <c r="B25" s="29"/>
      <c r="C25" s="22"/>
      <c r="D25" s="16" t="s">
        <v>49</v>
      </c>
      <c r="E25" s="16" t="s">
        <v>65</v>
      </c>
      <c r="F25" s="16" t="s">
        <v>47</v>
      </c>
      <c r="G25" s="17">
        <v>0.5</v>
      </c>
      <c r="H25" s="17">
        <v>1</v>
      </c>
      <c r="I25" s="17">
        <v>1</v>
      </c>
      <c r="J25" s="17">
        <v>1</v>
      </c>
      <c r="K25" s="17">
        <v>1</v>
      </c>
      <c r="L25" s="17">
        <v>1</v>
      </c>
      <c r="M25" s="17">
        <v>1</v>
      </c>
      <c r="N25" s="17">
        <v>1</v>
      </c>
      <c r="O25" s="17">
        <v>1</v>
      </c>
      <c r="P25" s="17">
        <v>0.5</v>
      </c>
      <c r="Q25" s="12">
        <f t="shared" si="2"/>
        <v>9</v>
      </c>
      <c r="R25" s="15"/>
      <c r="S25" s="15"/>
      <c r="T25" s="19" t="s">
        <v>84</v>
      </c>
      <c r="U25" s="20" t="s">
        <v>85</v>
      </c>
    </row>
    <row r="26" spans="2:21" ht="19.95" customHeight="1" x14ac:dyDescent="0.4">
      <c r="B26" s="29"/>
      <c r="C26" s="23"/>
      <c r="D26" s="24" t="s">
        <v>35</v>
      </c>
      <c r="E26" s="25"/>
      <c r="F26" s="26"/>
      <c r="G26" s="12">
        <f>SUM(G9:G25)</f>
        <v>5</v>
      </c>
      <c r="H26" s="12">
        <f t="shared" ref="H26:P26" si="3">SUM(H9:H25)</f>
        <v>9.5</v>
      </c>
      <c r="I26" s="12">
        <f t="shared" si="3"/>
        <v>11.5</v>
      </c>
      <c r="J26" s="12">
        <f t="shared" si="3"/>
        <v>12.5</v>
      </c>
      <c r="K26" s="12">
        <f t="shared" si="3"/>
        <v>13</v>
      </c>
      <c r="L26" s="12">
        <f t="shared" si="3"/>
        <v>13</v>
      </c>
      <c r="M26" s="12">
        <f t="shared" si="3"/>
        <v>12</v>
      </c>
      <c r="N26" s="12">
        <f t="shared" si="3"/>
        <v>12</v>
      </c>
      <c r="O26" s="12">
        <f t="shared" si="3"/>
        <v>10</v>
      </c>
      <c r="P26" s="12">
        <f t="shared" si="3"/>
        <v>6</v>
      </c>
      <c r="Q26" s="12">
        <f>SUM(Q9:Q25)</f>
        <v>104.5</v>
      </c>
      <c r="R26" s="11"/>
      <c r="S26" s="18"/>
    </row>
    <row r="27" spans="2:21" ht="19.95" customHeight="1" x14ac:dyDescent="0.4">
      <c r="B27" s="29"/>
      <c r="C27" s="4" t="s">
        <v>22</v>
      </c>
      <c r="D27" s="5"/>
      <c r="E27" s="5"/>
      <c r="F27" s="5" t="s">
        <v>23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5"/>
      <c r="S27" s="5"/>
    </row>
    <row r="28" spans="2:21" ht="19.95" customHeight="1" x14ac:dyDescent="0.4">
      <c r="B28" s="29"/>
      <c r="C28" s="6"/>
      <c r="D28" s="5"/>
      <c r="E28" s="5"/>
      <c r="F28" s="5" t="s">
        <v>27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5"/>
      <c r="S28" s="5"/>
    </row>
    <row r="29" spans="2:21" ht="19.95" customHeight="1" x14ac:dyDescent="0.4">
      <c r="B29" s="29"/>
      <c r="C29" s="6"/>
      <c r="D29" s="5"/>
      <c r="E29" s="5"/>
      <c r="F29" s="5" t="s">
        <v>28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5"/>
      <c r="S29" s="5"/>
    </row>
    <row r="30" spans="2:21" ht="19.95" customHeight="1" x14ac:dyDescent="0.4">
      <c r="B30" s="29"/>
      <c r="C30" s="7"/>
      <c r="D30" s="5"/>
      <c r="E30" s="5"/>
      <c r="F30" s="5" t="s">
        <v>29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5"/>
      <c r="S30" s="5"/>
    </row>
    <row r="31" spans="2:21" ht="19.95" customHeight="1" x14ac:dyDescent="0.4">
      <c r="B31" s="30"/>
      <c r="C31" s="7"/>
      <c r="D31" s="24" t="s">
        <v>35</v>
      </c>
      <c r="E31" s="25"/>
      <c r="F31" s="26"/>
      <c r="G31" s="12">
        <f>SUM(G27:G30)</f>
        <v>0</v>
      </c>
      <c r="H31" s="12">
        <f t="shared" ref="H31:Q31" si="4">SUM(H27:H30)</f>
        <v>0</v>
      </c>
      <c r="I31" s="12">
        <f t="shared" si="4"/>
        <v>0</v>
      </c>
      <c r="J31" s="12">
        <f t="shared" si="4"/>
        <v>0</v>
      </c>
      <c r="K31" s="12">
        <f t="shared" si="4"/>
        <v>0</v>
      </c>
      <c r="L31" s="12">
        <f t="shared" si="4"/>
        <v>0</v>
      </c>
      <c r="M31" s="12">
        <f t="shared" si="4"/>
        <v>0</v>
      </c>
      <c r="N31" s="12">
        <f t="shared" si="4"/>
        <v>0</v>
      </c>
      <c r="O31" s="12">
        <f t="shared" si="4"/>
        <v>0</v>
      </c>
      <c r="P31" s="12">
        <f t="shared" si="4"/>
        <v>0</v>
      </c>
      <c r="Q31" s="12">
        <f t="shared" si="4"/>
        <v>0</v>
      </c>
      <c r="R31" s="11"/>
      <c r="S31" s="8"/>
    </row>
    <row r="32" spans="2:21" ht="19.95" customHeight="1" x14ac:dyDescent="0.4">
      <c r="B32" s="31" t="s">
        <v>19</v>
      </c>
      <c r="C32" s="31"/>
      <c r="D32" s="31"/>
      <c r="E32" s="31"/>
      <c r="F32" s="3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32"/>
      <c r="S32" s="32"/>
    </row>
  </sheetData>
  <mergeCells count="18">
    <mergeCell ref="B32:F32"/>
    <mergeCell ref="R32:S32"/>
    <mergeCell ref="R3:R4"/>
    <mergeCell ref="S3:S4"/>
    <mergeCell ref="B3:B4"/>
    <mergeCell ref="C3:C4"/>
    <mergeCell ref="D3:D4"/>
    <mergeCell ref="E3:E4"/>
    <mergeCell ref="F3:F4"/>
    <mergeCell ref="G3:Q3"/>
    <mergeCell ref="D8:F8"/>
    <mergeCell ref="C5:C8"/>
    <mergeCell ref="D26:F26"/>
    <mergeCell ref="C9:C26"/>
    <mergeCell ref="D31:F31"/>
    <mergeCell ref="T3:T4"/>
    <mergeCell ref="U3:U4"/>
    <mergeCell ref="B5:B3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2196f3-ea4c-45b6-9926-6180779a4f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AB1DB73F497AB459EE2826987B4F135" ma:contentTypeVersion="19" ma:contentTypeDescription="새 문서를 만듭니다." ma:contentTypeScope="" ma:versionID="a2517760f4450eba2924df61a7555c74">
  <xsd:schema xmlns:xsd="http://www.w3.org/2001/XMLSchema" xmlns:xs="http://www.w3.org/2001/XMLSchema" xmlns:p="http://schemas.microsoft.com/office/2006/metadata/properties" xmlns:ns3="d32196f3-ea4c-45b6-9926-6180779a4f16" xmlns:ns4="98d0a3ef-76e5-4727-ae5d-0f6c6881f91e" targetNamespace="http://schemas.microsoft.com/office/2006/metadata/properties" ma:root="true" ma:fieldsID="2bd19e6a74eea467e94d44dea3215579" ns3:_="" ns4:_="">
    <xsd:import namespace="d32196f3-ea4c-45b6-9926-6180779a4f16"/>
    <xsd:import namespace="98d0a3ef-76e5-4727-ae5d-0f6c6881f9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196f3-ea4c-45b6-9926-6180779a4f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0a3ef-76e5-4727-ae5d-0f6c6881f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73424C-1650-4567-B807-4E132AE4A0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1E6039-A6ED-4C34-B5E5-53085EAA135A}">
  <ds:schemaRefs>
    <ds:schemaRef ds:uri="d32196f3-ea4c-45b6-9926-6180779a4f16"/>
    <ds:schemaRef ds:uri="http://purl.org/dc/terms/"/>
    <ds:schemaRef ds:uri="http://purl.org/dc/dcmitype/"/>
    <ds:schemaRef ds:uri="http://schemas.microsoft.com/office/2006/documentManagement/types"/>
    <ds:schemaRef ds:uri="98d0a3ef-76e5-4727-ae5d-0f6c6881f91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53BAD6A-D170-403A-A6AC-10C20B460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196f3-ea4c-45b6-9926-6180779a4f16"/>
    <ds:schemaRef ds:uri="98d0a3ef-76e5-4727-ae5d-0f6c6881f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펜타시스템공수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Seung-Tae Kim</dc:creator>
  <cp:lastModifiedBy>bpuser02</cp:lastModifiedBy>
  <dcterms:created xsi:type="dcterms:W3CDTF">2026-05-06T10:09:43Z</dcterms:created>
  <dcterms:modified xsi:type="dcterms:W3CDTF">2026-05-28T07:11:01Z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0x010100CAB1DB73F497AB459EE2826987B4F135</vt:lpwstr>
  </property>
</Properties>
</file>